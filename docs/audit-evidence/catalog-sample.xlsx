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图纸目录" sheetId="1" r:id="rId1"/>
    <sheet name="纸张统计" sheetId="2" r:id="rId2"/>
  </sheets>
  <definedNames>
    <definedName name="_xlnm.Print_Titles" localSheetId="0">'图纸目录'!$4:$4</definedName>
    <definedName name="_xlnm.Print_Area" localSheetId="0">'图纸目录'!$A$1:$H$7</definedName>
    <definedName name="_xlnm.Print_Titles" localSheetId="1">'纸张统计'!$5:$5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"/>
    <numFmt numFmtId="166" formatCode="0.###"/>
  </numFmts>
  <fonts count="4">
    <font>
      <sz val="10"/>
      <color rgb="FF202A35"/>
      <name val="Microsoft YaHei"/>
    </font>
    <font>
      <b/>
      <sz val="14"/>
      <color rgb="FF202A35"/>
      <name val="Microsoft YaHei"/>
    </font>
    <font>
      <b/>
      <sz val="10"/>
      <color rgb="FFFFFFFF"/>
      <name val="Microsoft YaHei"/>
    </font>
    <font>
      <sz val="10"/>
      <color rgb="FF586779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49" fontId="0" fillId="0" borderId="0" xfId="0" applyAlignment="1" applyNumberFormat="1">
      <alignment vertical="center" horizontal="left" wrapText="1"/>
    </xf>
    <xf numFmtId="0" fontId="1" fillId="0" borderId="0" xfId="0" applyAlignment="1" applyNumberFormat="1">
      <alignment vertical="center" horizontal="left" wrapText="1"/>
    </xf>
    <xf numFmtId="0" fontId="2" fillId="2" borderId="0" xfId="0" applyAlignment="1" applyNumberFormat="1">
      <alignment vertical="center" horizontal="center" wrapText="1"/>
    </xf>
    <xf numFmtId="1" fontId="0" fillId="0" borderId="0" xfId="0" applyAlignment="1" applyNumberFormat="1">
      <alignment vertical="center" horizontal="right" wrapText="1"/>
    </xf>
    <xf numFmtId="0" fontId="3" fillId="0" borderId="0" xfId="0" applyAlignment="1" applyNumberFormat="1">
      <alignment vertical="center" horizontal="left" wrapText="1"/>
    </xf>
    <xf numFmtId="164" fontId="0" fillId="0" borderId="0" xfId="0" applyAlignment="1" applyNumberFormat="1">
      <alignment vertical="center" horizontal="right" wrapText="1"/>
    </xf>
    <xf numFmtId="165" fontId="0" fillId="0" borderId="0" xfId="0" applyAlignment="1" applyNumberFormat="1">
      <alignment vertical="center" horizontal="right" wrapText="1"/>
    </xf>
    <xf numFmtId="166" fontId="0" fillId="0" borderId="0" xfId="0" applyAlignment="1" applyNumberFormat="1">
      <alignment vertical="center" horizontal="right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Relationship Id="rId2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4" topLeftCell="A5" activePane="bottomLeft" state="frozen"/>
    </sheetView>
  </sheetViews>
  <sheetFormatPr defaultRowHeight="26"/>
  <cols>
    <col min="1" max="1" width="8" customWidth="1"/>
    <col min="2" max="2" width="22" customWidth="1"/>
    <col min="3" max="3" width="44" customWidth="1"/>
    <col min="4" max="4" width="16" customWidth="1"/>
    <col min="5" max="5" width="12" customWidth="1"/>
    <col min="6" max="6" width="10" customWidth="1"/>
    <col min="7" max="7" width="16" customWidth="1"/>
    <col min="8" max="8" width="18" customWidth="1"/>
  </cols>
  <sheetData>
    <row r="2" ht="26" customHeight="1">
      <c r="A2" s="1" t="inlineStr">
        <is>
          <t xml:space="preserve">图纸目录</t>
        </is>
      </c>
    </row>
    <row r="3" ht="23" customHeight="1">
      <c r="A3" s="4" t="inlineStr">
        <is>
          <t xml:space="preserve">勾选图纸，共 3 张；导出内容为当前列表快照。</t>
        </is>
      </c>
    </row>
    <row r="4" ht="30" customHeight="1">
      <c r="A4" s="2" t="inlineStr">
        <is>
          <t xml:space="preserve">序号</t>
        </is>
      </c>
      <c r="B4" s="2" t="inlineStr">
        <is>
          <t xml:space="preserve">图号</t>
        </is>
      </c>
      <c r="C4" s="2" t="inlineStr">
        <is>
          <t xml:space="preserve">图名</t>
        </is>
      </c>
      <c r="D4" s="2" t="inlineStr">
        <is>
          <t xml:space="preserve">图幅</t>
        </is>
      </c>
      <c r="E4" s="2" t="inlineStr">
        <is>
          <t xml:space="preserve">比例</t>
        </is>
      </c>
      <c r="F4" s="2" t="inlineStr">
        <is>
          <t xml:space="preserve">版次</t>
        </is>
      </c>
      <c r="G4" s="2" t="inlineStr">
        <is>
          <t xml:space="preserve">出图日期</t>
        </is>
      </c>
      <c r="H4" s="2" t="inlineStr">
        <is>
          <t xml:space="preserve">布局</t>
        </is>
      </c>
    </row>
    <row r="5" ht="28" customHeight="1">
      <c r="A5" s="3">
        <v>1</v>
      </c>
      <c r="B5" s="0" t="inlineStr">
        <is>
          <t xml:space="preserve">电施-001</t>
        </is>
      </c>
      <c r="C5" s="0" t="inlineStr">
        <is>
          <t xml:space="preserve">110kV配电装置总平面图</t>
        </is>
      </c>
      <c r="D5" s="0" t="inlineStr">
        <is>
          <t xml:space="preserve">A1</t>
        </is>
      </c>
      <c r="E5" s="0" t="inlineStr">
        <is>
          <t xml:space="preserve">1:100</t>
        </is>
      </c>
      <c r="F5" s="0" t="inlineStr">
        <is>
          <t xml:space="preserve">A</t>
        </is>
      </c>
      <c r="G5" s="6">
        <v>46285</v>
      </c>
      <c r="H5" s="0" t="inlineStr">
        <is>
          <t xml:space="preserve">模型</t>
        </is>
      </c>
    </row>
    <row r="6" ht="28" customHeight="1">
      <c r="A6" s="3">
        <v>2</v>
      </c>
      <c r="B6" s="0" t="inlineStr">
        <is>
          <t xml:space="preserve">电施-002</t>
        </is>
      </c>
      <c r="C6" s="0" t="inlineStr">
        <is>
          <t xml:space="preserve">保护屏端子接线图</t>
        </is>
      </c>
      <c r="D6" s="0" t="inlineStr">
        <is>
          <t xml:space="preserve">A3+1/2</t>
        </is>
      </c>
      <c r="E6" s="0" t="inlineStr">
        <is>
          <t xml:space="preserve">1:2.5</t>
        </is>
      </c>
      <c r="F6" s="0" t="inlineStr">
        <is>
          <t xml:space="preserve">B</t>
        </is>
      </c>
      <c r="G6" s="6">
        <v>46285</v>
      </c>
      <c r="H6" s="0" t="inlineStr">
        <is>
          <t xml:space="preserve">二次接线</t>
        </is>
      </c>
    </row>
    <row r="7" ht="28" customHeight="1">
      <c r="A7" s="3">
        <v>3</v>
      </c>
      <c r="B7" s="0" t="inlineStr">
        <is>
          <t xml:space="preserve">003</t>
        </is>
      </c>
      <c r="C7" s="0" t="inlineStr">
        <is>
          <t xml:space="preserve">自定义图幅测试</t>
        </is>
      </c>
      <c r="D7" s="0" t="inlineStr">
        <is>
          <t xml:space="preserve">自定义</t>
        </is>
      </c>
      <c r="E7" s="0" t="inlineStr">
        <is>
          <t xml:space="preserve">1:50</t>
        </is>
      </c>
      <c r="F7" s="0" t="inlineStr">
        <is>
          <t xml:space="preserve">A</t>
        </is>
      </c>
      <c r="G7" s="6">
        <v>46285</v>
      </c>
      <c r="H7" s="0" t="inlineStr">
        <is>
          <t xml:space="preserve">二次接线</t>
        </is>
      </c>
    </row>
  </sheetData>
  <autoFilter ref="A4:H7"/>
  <mergeCells count="2">
    <mergeCell ref="A2:H2"/>
    <mergeCell ref="A3:H3"/>
  </mergeCells>
  <pageMargins left="0.3" right="0.3" top="0.4" bottom="0.4" header="0.2" footer="0.2"/>
  <pageSetup paperSize="8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>
      <pane ySplit="5" topLeftCell="A6" activePane="bottomLeft" state="frozen"/>
    </sheetView>
  </sheetViews>
  <sheetFormatPr defaultRowHeight="26"/>
  <cols>
    <col min="1" max="1" width="24" customWidth="1"/>
    <col min="2" max="2" width="18" customWidth="1"/>
    <col min="3" max="3" width="18" customWidth="1"/>
    <col min="4" max="4" width="12" customWidth="1"/>
    <col min="5" max="5" width="20" customWidth="1"/>
    <col min="6" max="6" width="20" customWidth="1"/>
  </cols>
  <sheetData>
    <row r="2" ht="26" customHeight="1">
      <c r="A2" s="1" t="inlineStr">
        <is>
          <t xml:space="preserve">纸张面积与 A1 折算</t>
        </is>
      </c>
    </row>
    <row r="3" ht="40" customHeight="1">
      <c r="A3" s="0" t="inlineStr">
        <is>
          <t xml:space="preserve">A1 基准面积(m²)</t>
        </is>
      </c>
      <c r="B3" s="5">
        <v>0.499554</v>
      </c>
      <c r="C3" s="4" t="inlineStr">
        <is>
          <t xml:space="preserve">841 × 594 mm；折算按面积，不计份数、留白与损耗。</t>
        </is>
      </c>
    </row>
    <row r="5" ht="30" customHeight="1">
      <c r="A5" s="2" t="inlineStr">
        <is>
          <t xml:space="preserve">图幅</t>
        </is>
      </c>
      <c r="B5" s="2" t="inlineStr">
        <is>
          <t xml:space="preserve">长边(mm)</t>
        </is>
      </c>
      <c r="C5" s="2" t="inlineStr">
        <is>
          <t xml:space="preserve">短边(mm)</t>
        </is>
      </c>
      <c r="D5" s="2" t="inlineStr">
        <is>
          <t xml:space="preserve">张数</t>
        </is>
      </c>
      <c r="E5" s="2" t="inlineStr">
        <is>
          <t xml:space="preserve">总面积(m²)</t>
        </is>
      </c>
      <c r="F5" s="2" t="inlineStr">
        <is>
          <t xml:space="preserve">折合A1(张)</t>
        </is>
      </c>
    </row>
    <row r="6" ht="26" customHeight="1">
      <c r="A6" s="0" t="inlineStr">
        <is>
          <t xml:space="preserve">A1</t>
        </is>
      </c>
      <c r="B6" s="7">
        <v>841</v>
      </c>
      <c r="C6" s="7">
        <v>594</v>
      </c>
      <c r="D6" s="3">
        <v>1</v>
      </c>
      <c r="E6" s="5">
        <f>B6*C6*D6/1000000</f>
        <v>0.499554</v>
      </c>
      <c r="F6" s="5">
        <f>E6/$B$3</f>
        <v>1</v>
      </c>
    </row>
    <row r="7" ht="26" customHeight="1">
      <c r="A7" s="0" t="inlineStr">
        <is>
          <t xml:space="preserve">A3+1/2</t>
        </is>
      </c>
      <c r="B7" s="7">
        <v>630</v>
      </c>
      <c r="C7" s="7">
        <v>297</v>
      </c>
      <c r="D7" s="3">
        <v>1</v>
      </c>
      <c r="E7" s="5">
        <f>B7*C7*D7/1000000</f>
        <v>0.18711</v>
      </c>
      <c r="F7" s="5">
        <f>E7/$B$3</f>
        <v>0.3745541022592152</v>
      </c>
    </row>
    <row r="8" ht="26" customHeight="1">
      <c r="A8" s="0" t="inlineStr">
        <is>
          <t xml:space="preserve">自定义</t>
        </is>
      </c>
      <c r="B8" s="7">
        <v>500</v>
      </c>
      <c r="C8" s="7">
        <v>300</v>
      </c>
      <c r="D8" s="3">
        <v>1</v>
      </c>
      <c r="E8" s="5">
        <f>B8*C8*D8/1000000</f>
        <v>0.15</v>
      </c>
      <c r="F8" s="5">
        <f>E8/$B$3</f>
        <v>0.3002678389123098</v>
      </c>
    </row>
    <row r="9" ht="28" customHeight="1">
      <c r="A9" s="2" t="inlineStr">
        <is>
          <t xml:space="preserve">合计</t>
        </is>
      </c>
      <c r="D9" s="3">
        <f>SUM(D6:D8)</f>
        <v>3</v>
      </c>
      <c r="E9" s="5">
        <f>SUM(E6:E8)</f>
        <v>0.836664</v>
      </c>
      <c r="F9" s="5">
        <f>SUM(F6:F8)</f>
        <v>1.6748219411715248</v>
      </c>
    </row>
  </sheetData>
  <autoFilter ref="A5:F8"/>
  <mergeCells count="2">
    <mergeCell ref="A2:F2"/>
    <mergeCell ref="C3:F3"/>
  </mergeCells>
  <pageMargins left="0.3" right="0.3" top="0.4" bottom="0.4" header="0.2" footer="0.2"/>
  <pageSetup paperSize="8" orientation="landscape" fitToWidth="1" fitToHeight="0"/>
</worksheet>
</file>